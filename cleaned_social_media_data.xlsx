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c444d1cf861adac/Desktop/Projects - 2026/content-performance-analyzer/"/>
    </mc:Choice>
  </mc:AlternateContent>
  <xr:revisionPtr revIDLastSave="48" documentId="8_{8E39A5ED-70E7-4B6A-B7E6-1FD1AD9272F0}" xr6:coauthVersionLast="47" xr6:coauthVersionMax="47" xr10:uidLastSave="{B86BAA75-E6A7-493E-A4B9-CA51A51108E6}"/>
  <bookViews>
    <workbookView xWindow="-150" yWindow="20" windowWidth="9650" windowHeight="10060" firstSheet="3" activeTab="3" xr2:uid="{36A8904E-8451-46D6-AB8F-D7A8BCE0F94F}"/>
  </bookViews>
  <sheets>
    <sheet name="Content_Type_Analysis" sheetId="2" r:id="rId1"/>
    <sheet name="Platform_Analysis" sheetId="4" r:id="rId2"/>
    <sheet name="Day_Analysis" sheetId="5" r:id="rId3"/>
    <sheet name="Dashboard" sheetId="6" r:id="rId4"/>
    <sheet name="Sheet1" sheetId="1" r:id="rId5"/>
  </sheets>
  <calcPr calcId="191029"/>
  <pivotCaches>
    <pivotCache cacheId="14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2" i="1"/>
  <c r="I3" i="1"/>
  <c r="I4" i="1"/>
  <c r="I5" i="1"/>
  <c r="I6" i="1"/>
  <c r="I7" i="1"/>
  <c r="I8" i="1"/>
  <c r="I9" i="1"/>
  <c r="I10" i="1"/>
  <c r="I11" i="1"/>
  <c r="I12" i="1"/>
  <c r="I13" i="1"/>
  <c r="I2" i="1"/>
</calcChain>
</file>

<file path=xl/sharedStrings.xml><?xml version="1.0" encoding="utf-8"?>
<sst xmlns="http://schemas.openxmlformats.org/spreadsheetml/2006/main" count="68" uniqueCount="38">
  <si>
    <t>Post_ID</t>
  </si>
  <si>
    <t>Post_DatePlatform</t>
  </si>
  <si>
    <t>Content_Type</t>
  </si>
  <si>
    <t>Likes</t>
  </si>
  <si>
    <t>Comments</t>
  </si>
  <si>
    <t>Shares</t>
  </si>
  <si>
    <t>Reach</t>
  </si>
  <si>
    <t>P001</t>
  </si>
  <si>
    <t>Instagram</t>
  </si>
  <si>
    <t>Reel</t>
  </si>
  <si>
    <t>P002</t>
  </si>
  <si>
    <t>LinkedIn</t>
  </si>
  <si>
    <t>Text</t>
  </si>
  <si>
    <t>P003</t>
  </si>
  <si>
    <t>Image</t>
  </si>
  <si>
    <t>P004</t>
  </si>
  <si>
    <t>Carousel</t>
  </si>
  <si>
    <t>P005</t>
  </si>
  <si>
    <t>P006</t>
  </si>
  <si>
    <t>P007</t>
  </si>
  <si>
    <t>P008</t>
  </si>
  <si>
    <t>P009</t>
  </si>
  <si>
    <t>P010</t>
  </si>
  <si>
    <t>P011</t>
  </si>
  <si>
    <t>P012</t>
  </si>
  <si>
    <t>Total_Engagement</t>
  </si>
  <si>
    <t>Day_Name</t>
  </si>
  <si>
    <t>Row Labels</t>
  </si>
  <si>
    <t>Grand Total</t>
  </si>
  <si>
    <t>Sum of Total_Engagement</t>
  </si>
  <si>
    <t>Platform</t>
  </si>
  <si>
    <t>Sunday</t>
  </si>
  <si>
    <t>Monday</t>
  </si>
  <si>
    <t>Tuesday</t>
  </si>
  <si>
    <t>Wednesday</t>
  </si>
  <si>
    <t>Thursday</t>
  </si>
  <si>
    <t>Friday</t>
  </si>
  <si>
    <t>Saturday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</si>
</sst>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dd/mm/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65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2">
    <dxf>
      <numFmt numFmtId="1" formatCode="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[cleaned_social_media_data.xlsx]Content_Type_Analysis!PivotTable2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Engagement by Content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Content_Type_Analysis!$B$3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Content_Type_Analysis!$A$4:$A$8</c:f>
              <c:strCache>
                <c:ptCount val="4"/>
                <c:pt idx="0">
                  <c:v>Reel</c:v>
                </c:pt>
                <c:pt idx="1">
                  <c:v>Carousel</c:v>
                </c:pt>
                <c:pt idx="2">
                  <c:v>Image</c:v>
                </c:pt>
                <c:pt idx="3">
                  <c:v>Text</c:v>
                </c:pt>
              </c:strCache>
            </c:strRef>
          </c:cat>
          <c:val>
            <c:numRef>
              <c:f>Content_Type_Analysis!$B$4:$B$8</c:f>
              <c:numCache>
                <c:formatCode>General</c:formatCode>
                <c:ptCount val="4"/>
                <c:pt idx="0">
                  <c:v>2252</c:v>
                </c:pt>
                <c:pt idx="1">
                  <c:v>2170</c:v>
                </c:pt>
                <c:pt idx="2">
                  <c:v>811</c:v>
                </c:pt>
                <c:pt idx="3">
                  <c:v>776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2B-4089-BB9D-8D89729EC3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1830400"/>
        <c:axId val="1771834720"/>
      </c:barChart>
      <c:catAx>
        <c:axId val="1771830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834720"/>
        <c:crosses val="autoZero"/>
        <c:auto val="1"/>
        <c:lblAlgn val="ctr"/>
        <c:lblOffset val="100"/>
        <c:noMultiLvlLbl val="0"/>
      </c:catAx>
      <c:valAx>
        <c:axId val="177183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830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[cleaned_social_media_data.xlsx]Platform_Analysis!PivotTable4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Platform-wise Engagement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Platform_Analysis!$B$3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Platform_Analysis!$A$4:$A$6</c:f>
              <c:strCache>
                <c:ptCount val="2"/>
                <c:pt idx="0">
                  <c:v>Instagram</c:v>
                </c:pt>
                <c:pt idx="1">
                  <c:v>LinkedIn</c:v>
                </c:pt>
              </c:strCache>
            </c:strRef>
          </c:cat>
          <c:val>
            <c:numRef>
              <c:f>Platform_Analysis!$B$4:$B$6</c:f>
              <c:numCache>
                <c:formatCode>General</c:formatCode>
                <c:ptCount val="2"/>
                <c:pt idx="0">
                  <c:v>4166</c:v>
                </c:pt>
                <c:pt idx="1">
                  <c:v>1843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EA-48C5-949B-F625F7B5B6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1915840"/>
        <c:axId val="1771932640"/>
      </c:barChart>
      <c:catAx>
        <c:axId val="177191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932640"/>
        <c:crosses val="autoZero"/>
        <c:auto val="1"/>
        <c:lblAlgn val="ctr"/>
        <c:lblOffset val="100"/>
        <c:noMultiLvlLbl val="0"/>
      </c:catAx>
      <c:valAx>
        <c:axId val="177193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91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[cleaned_social_media_data.xlsx]Day_Analysis!PivotTable5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Engagement Trend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Day_Analysis!$B$3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Day_Analysis!$A$4:$A$11</c:f>
              <c:strCache>
                <c:ptCount val="7"/>
                <c:pt idx="0">
                  <c:v>Wednesday</c:v>
                </c:pt>
                <c:pt idx="1">
                  <c:v>Saturday</c:v>
                </c:pt>
                <c:pt idx="2">
                  <c:v>Friday</c:v>
                </c:pt>
                <c:pt idx="3">
                  <c:v>Thursday</c:v>
                </c:pt>
                <c:pt idx="4">
                  <c:v>Tuesday</c:v>
                </c:pt>
                <c:pt idx="5">
                  <c:v>Monday</c:v>
                </c:pt>
                <c:pt idx="6">
                  <c:v>Sunday</c:v>
                </c:pt>
              </c:strCache>
            </c:strRef>
          </c:cat>
          <c:val>
            <c:numRef>
              <c:f>Day_Analysis!$B$4:$B$11</c:f>
              <c:numCache>
                <c:formatCode>General</c:formatCode>
                <c:ptCount val="7"/>
                <c:pt idx="0">
                  <c:v>1270</c:v>
                </c:pt>
                <c:pt idx="1">
                  <c:v>1137</c:v>
                </c:pt>
                <c:pt idx="2">
                  <c:v>981</c:v>
                </c:pt>
                <c:pt idx="3">
                  <c:v>751</c:v>
                </c:pt>
                <c:pt idx="4">
                  <c:v>655</c:v>
                </c:pt>
                <c:pt idx="5">
                  <c:v>630</c:v>
                </c:pt>
                <c:pt idx="6">
                  <c:v>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D3-4693-A130-D735F3DABC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353888"/>
        <c:axId val="53356288"/>
      </c:barChart>
      <c:catAx>
        <c:axId val="5335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56288"/>
        <c:crosses val="autoZero"/>
        <c:auto val="1"/>
        <c:lblAlgn val="ctr"/>
        <c:lblOffset val="100"/>
        <c:noMultiLvlLbl val="0"/>
      </c:catAx>
      <c:valAx>
        <c:axId val="5335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57727</xdr:colOff>
      <xdr:row>2</xdr:row>
      <xdr:rowOff>161637</xdr:rowOff>
    </xdr:from>
    <xdr:to>
      <xdr:col>8</xdr:col>
      <xdr:colOff>364565</xdr:colOff>
      <xdr:row>18</xdr:row>
      <xdr:rowOff>32845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279A68-DCEF-4D8F-93B1-364757ED63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</xdr:row>
      <xdr:rowOff>173182</xdr:rowOff>
    </xdr:from>
    <xdr:to>
      <xdr:col>17</xdr:col>
      <xdr:colOff>317500</xdr:colOff>
      <xdr:row>18</xdr:row>
      <xdr:rowOff>10227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482EC59-B750-408F-B8F1-E1029960B1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145142</xdr:colOff>
      <xdr:row>21</xdr:row>
      <xdr:rowOff>99786</xdr:rowOff>
    </xdr:from>
    <xdr:to>
      <xdr:col>12</xdr:col>
      <xdr:colOff>462642</xdr:colOff>
      <xdr:row>36</xdr:row>
      <xdr:rowOff>121557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3B155B2-9890-4EAC-AB92-BAFEBE2D1A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rya Khaire" refreshedDate="46026.576981828701" createdVersion="8" refreshedVersion="8" minRefreshableVersion="3" recordCount="12" xr:uid="{8149658F-6E77-4EA0-A14B-89324500B3FC}">
  <cacheSource type="worksheet">
    <worksheetSource name="Table1"/>
  </cacheSource>
  <cacheFields count="10">
    <cacheField name="Post_ID" numFmtId="0">
      <sharedItems/>
    </cacheField>
    <cacheField name="Post_DatePlatform" numFmtId="14">
      <sharedItems containsSemiMixedTypes="0" containsNonDate="0" containsDate="1" containsString="0" minDate="2025-12-01T00:00:00" maxDate="2025-12-08T00:00:00" count="7">
        <d v="2025-12-01T00:00:00"/>
        <d v="2025-12-02T00:00:00"/>
        <d v="2025-12-03T00:00:00"/>
        <d v="2025-12-04T00:00:00"/>
        <d v="2025-12-05T00:00:00"/>
        <d v="2025-12-06T00:00:00"/>
        <d v="2025-12-07T00:00:00"/>
      </sharedItems>
    </cacheField>
    <cacheField name="Column1" numFmtId="0">
      <sharedItems count="2">
        <s v="Instagram"/>
        <s v="LinkedIn"/>
      </sharedItems>
    </cacheField>
    <cacheField name="Content_Type" numFmtId="0">
      <sharedItems count="4">
        <s v="Reel"/>
        <s v="Text"/>
        <s v="Image"/>
        <s v="Carousel"/>
      </sharedItems>
    </cacheField>
    <cacheField name="Likes" numFmtId="0">
      <sharedItems containsSemiMixedTypes="0" containsString="0" containsNumber="1" containsInteger="1" minValue="190" maxValue="680"/>
    </cacheField>
    <cacheField name="Comments" numFmtId="0">
      <sharedItems containsSemiMixedTypes="0" containsString="0" containsNumber="1" containsInteger="1" minValue="22" maxValue="82"/>
    </cacheField>
    <cacheField name="Shares" numFmtId="0">
      <sharedItems containsSemiMixedTypes="0" containsString="0" containsNumber="1" containsInteger="1" minValue="15" maxValue="95"/>
    </cacheField>
    <cacheField name="Reach" numFmtId="0">
      <sharedItems containsSemiMixedTypes="0" containsString="0" containsNumber="1" containsInteger="1" minValue="1600" maxValue="5600"/>
    </cacheField>
    <cacheField name="Total_Engagement" numFmtId="0">
      <sharedItems containsSemiMixedTypes="0" containsString="0" containsNumber="1" containsInteger="1" minValue="233" maxValue="857"/>
    </cacheField>
    <cacheField name="Day_Name" numFmtId="0">
      <sharedItems count="7">
        <s v="Monday"/>
        <s v="Tuesday"/>
        <s v="Wednesday"/>
        <s v="Thursday"/>
        <s v="Friday"/>
        <s v="Saturday"/>
        <s v="Sunda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P001"/>
    <x v="0"/>
    <x v="0"/>
    <x v="0"/>
    <n v="520"/>
    <n v="48"/>
    <n v="62"/>
    <n v="4200"/>
    <n v="630"/>
    <x v="0"/>
  </r>
  <r>
    <s v="P002"/>
    <x v="1"/>
    <x v="1"/>
    <x v="1"/>
    <n v="210"/>
    <n v="35"/>
    <n v="18"/>
    <n v="1800"/>
    <n v="263"/>
    <x v="1"/>
  </r>
  <r>
    <s v="P003"/>
    <x v="1"/>
    <x v="0"/>
    <x v="2"/>
    <n v="340"/>
    <n v="22"/>
    <n v="30"/>
    <n v="2600"/>
    <n v="392"/>
    <x v="1"/>
  </r>
  <r>
    <s v="P004"/>
    <x v="2"/>
    <x v="1"/>
    <x v="3"/>
    <n v="410"/>
    <n v="55"/>
    <n v="40"/>
    <n v="3200"/>
    <n v="505"/>
    <x v="2"/>
  </r>
  <r>
    <s v="P005"/>
    <x v="2"/>
    <x v="0"/>
    <x v="0"/>
    <n v="610"/>
    <n v="70"/>
    <n v="85"/>
    <n v="5100"/>
    <n v="765"/>
    <x v="2"/>
  </r>
  <r>
    <s v="P006"/>
    <x v="3"/>
    <x v="0"/>
    <x v="3"/>
    <n v="430"/>
    <n v="38"/>
    <n v="50"/>
    <n v="3700"/>
    <n v="518"/>
    <x v="3"/>
  </r>
  <r>
    <s v="P007"/>
    <x v="3"/>
    <x v="1"/>
    <x v="1"/>
    <n v="190"/>
    <n v="28"/>
    <n v="15"/>
    <n v="1600"/>
    <n v="233"/>
    <x v="3"/>
  </r>
  <r>
    <s v="P008"/>
    <x v="4"/>
    <x v="0"/>
    <x v="2"/>
    <n v="360"/>
    <n v="26"/>
    <n v="33"/>
    <n v="2900"/>
    <n v="419"/>
    <x v="4"/>
  </r>
  <r>
    <s v="P009"/>
    <x v="4"/>
    <x v="1"/>
    <x v="3"/>
    <n v="460"/>
    <n v="60"/>
    <n v="42"/>
    <n v="3400"/>
    <n v="562"/>
    <x v="4"/>
  </r>
  <r>
    <s v="P010"/>
    <x v="5"/>
    <x v="0"/>
    <x v="0"/>
    <n v="680"/>
    <n v="82"/>
    <n v="95"/>
    <n v="5600"/>
    <n v="857"/>
    <x v="5"/>
  </r>
  <r>
    <s v="P011"/>
    <x v="5"/>
    <x v="1"/>
    <x v="1"/>
    <n v="220"/>
    <n v="40"/>
    <n v="20"/>
    <n v="1900"/>
    <n v="280"/>
    <x v="5"/>
  </r>
  <r>
    <s v="P012"/>
    <x v="6"/>
    <x v="0"/>
    <x v="3"/>
    <n v="480"/>
    <n v="45"/>
    <n v="60"/>
    <n v="4000"/>
    <n v="585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8DAC2A-7953-427E-AABC-70B90DCEBD66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8" firstHeaderRow="1" firstDataRow="1" firstDataCol="1"/>
  <pivotFields count="10">
    <pivotField showAll="0"/>
    <pivotField numFmtId="14" showAll="0"/>
    <pivotField showAll="0"/>
    <pivotField axis="axisRow" showAll="0" sortType="descending">
      <items count="5">
        <item x="3"/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</pivotFields>
  <rowFields count="1">
    <field x="3"/>
  </rowFields>
  <rowItems count="5">
    <i>
      <x v="2"/>
    </i>
    <i>
      <x/>
    </i>
    <i>
      <x v="1"/>
    </i>
    <i>
      <x v="3"/>
    </i>
    <i t="grand">
      <x/>
    </i>
  </rowItems>
  <colItems count="1">
    <i/>
  </colItems>
  <dataFields count="1">
    <dataField name="Sum of Total_Engagement" fld="8" baseField="3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CC3517-00FF-4681-864C-2BB7793E0123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6" firstHeaderRow="1" firstDataRow="1" firstDataCol="1"/>
  <pivotFields count="10">
    <pivotField showAll="0"/>
    <pivotField numFmtId="14" showAll="0"/>
    <pivotField axis="axisRow" showAll="0" sortType="descending">
      <items count="3"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Total_Engagement" fld="8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6F3E3A-5616-4B0B-B303-90DFEB718D18}" name="PivotTable5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1" firstHeaderRow="1" firstDataRow="1" firstDataCol="1"/>
  <pivotFields count="10">
    <pivotField showAll="0"/>
    <pivotField numFmtId="14"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sortType="descending">
      <items count="8">
        <item x="6"/>
        <item x="0"/>
        <item x="1"/>
        <item x="2"/>
        <item x="3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9"/>
  </rowFields>
  <rowItems count="8">
    <i>
      <x v="3"/>
    </i>
    <i>
      <x v="6"/>
    </i>
    <i>
      <x v="5"/>
    </i>
    <i>
      <x v="4"/>
    </i>
    <i>
      <x v="2"/>
    </i>
    <i>
      <x v="1"/>
    </i>
    <i>
      <x/>
    </i>
    <i t="grand">
      <x/>
    </i>
  </rowItems>
  <colItems count="1">
    <i/>
  </colItems>
  <dataFields count="1">
    <dataField name="Sum of Total_Engagement" fld="8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4EB430-7742-4985-B3D8-7C82828CFE72}" name="Table1" displayName="Table1" ref="A1:J13" totalsRowShown="0" headerRowDxfId="0">
  <autoFilter ref="A1:J13" xr:uid="{D14EB430-7742-4985-B3D8-7C82828CFE72}"/>
  <tableColumns count="10">
    <tableColumn id="1" xr3:uid="{B4567658-1690-4F46-B833-28287A447C3A}" name="Post_ID"/>
    <tableColumn id="2" xr3:uid="{65AAC8DC-ACE9-46EE-9154-4C7D314FF82D}" name="Post_DatePlatform" dataDxfId="1"/>
    <tableColumn id="3" xr3:uid="{A8097D27-382C-4D45-BD6B-DAFDCE85B3E7}" name="Platform"/>
    <tableColumn id="4" xr3:uid="{3A11199E-71C8-4955-B092-25B8AF53B826}" name="Content_Type"/>
    <tableColumn id="5" xr3:uid="{6C4C99A6-26E7-47B6-AF24-301E36334C3C}" name="Likes"/>
    <tableColumn id="6" xr3:uid="{9DDB6A71-95BD-4A8E-AE9D-5CBCE082A125}" name="Comments"/>
    <tableColumn id="7" xr3:uid="{4EC55290-89BB-46B8-9766-5F9C59395C8A}" name="Shares"/>
    <tableColumn id="8" xr3:uid="{068E41E8-64AD-4661-BF6E-D4C05A2F9A76}" name="Reach"/>
    <tableColumn id="9" xr3:uid="{56DF7C57-76D0-4B0D-B542-54FABAAFF0AA}" name="Total_Engagement">
      <calculatedColumnFormula>E2+F2+G2</calculatedColumnFormula>
    </tableColumn>
    <tableColumn id="10" xr3:uid="{EB161A05-0312-4A67-A4A4-2D0E0EECA3EE}" name="Day_Name">
      <calculatedColumnFormula>TEXT(B2,"dddd")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34267-9601-4FCA-8D93-C79402E628A7}">
  <dimension ref="A3:B8"/>
  <sheetViews>
    <sheetView topLeftCell="O1" zoomScale="47" workbookViewId="0">
      <selection activeCell="N29" sqref="N29"/>
    </sheetView>
  </sheetViews>
  <sheetFormatPr defaultRowHeight="14.5" x14ac:dyDescent="0.35"/>
  <cols>
    <col min="1" max="1" width="12.36328125" bestFit="1" customWidth="1"/>
    <col min="2" max="2" width="23" bestFit="1" customWidth="1"/>
  </cols>
  <sheetData>
    <row r="3" spans="1:2" x14ac:dyDescent="0.35">
      <c r="A3" s="4" t="s">
        <v>27</v>
      </c>
      <c r="B3" t="s">
        <v>29</v>
      </c>
    </row>
    <row r="4" spans="1:2" x14ac:dyDescent="0.35">
      <c r="A4" s="5" t="s">
        <v>9</v>
      </c>
      <c r="B4" s="6">
        <v>2252</v>
      </c>
    </row>
    <row r="5" spans="1:2" x14ac:dyDescent="0.35">
      <c r="A5" s="5" t="s">
        <v>16</v>
      </c>
      <c r="B5" s="6">
        <v>2170</v>
      </c>
    </row>
    <row r="6" spans="1:2" x14ac:dyDescent="0.35">
      <c r="A6" s="5" t="s">
        <v>14</v>
      </c>
      <c r="B6" s="6">
        <v>811</v>
      </c>
    </row>
    <row r="7" spans="1:2" x14ac:dyDescent="0.35">
      <c r="A7" s="5" t="s">
        <v>12</v>
      </c>
      <c r="B7" s="6">
        <v>776</v>
      </c>
    </row>
    <row r="8" spans="1:2" x14ac:dyDescent="0.35">
      <c r="A8" s="5" t="s">
        <v>28</v>
      </c>
      <c r="B8" s="6">
        <v>6009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2BAF7-0C31-4F94-9CCA-6530F2E79A7A}">
  <dimension ref="A3:B6"/>
  <sheetViews>
    <sheetView workbookViewId="0">
      <selection activeCell="B4" sqref="B4"/>
    </sheetView>
  </sheetViews>
  <sheetFormatPr defaultRowHeight="14.5" x14ac:dyDescent="0.35"/>
  <cols>
    <col min="1" max="1" width="12.36328125" bestFit="1" customWidth="1"/>
    <col min="2" max="2" width="23" bestFit="1" customWidth="1"/>
  </cols>
  <sheetData>
    <row r="3" spans="1:2" x14ac:dyDescent="0.35">
      <c r="A3" s="4" t="s">
        <v>27</v>
      </c>
      <c r="B3" t="s">
        <v>29</v>
      </c>
    </row>
    <row r="4" spans="1:2" x14ac:dyDescent="0.35">
      <c r="A4" s="5" t="s">
        <v>8</v>
      </c>
      <c r="B4" s="6">
        <v>4166</v>
      </c>
    </row>
    <row r="5" spans="1:2" x14ac:dyDescent="0.35">
      <c r="A5" s="5" t="s">
        <v>11</v>
      </c>
      <c r="B5" s="6">
        <v>1843</v>
      </c>
    </row>
    <row r="6" spans="1:2" x14ac:dyDescent="0.35">
      <c r="A6" s="5" t="s">
        <v>28</v>
      </c>
      <c r="B6" s="6">
        <v>6009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F42CB-3784-4FB1-94F5-E9AD921782C1}">
  <dimension ref="A3:B11"/>
  <sheetViews>
    <sheetView workbookViewId="0">
      <selection activeCell="G7" sqref="G7"/>
    </sheetView>
  </sheetViews>
  <sheetFormatPr defaultRowHeight="14.5" x14ac:dyDescent="0.35"/>
  <cols>
    <col min="1" max="1" width="12.36328125" bestFit="1" customWidth="1"/>
    <col min="2" max="2" width="23" bestFit="1" customWidth="1"/>
  </cols>
  <sheetData>
    <row r="3" spans="1:2" x14ac:dyDescent="0.35">
      <c r="A3" s="4" t="s">
        <v>27</v>
      </c>
      <c r="B3" t="s">
        <v>29</v>
      </c>
    </row>
    <row r="4" spans="1:2" x14ac:dyDescent="0.35">
      <c r="A4" s="5" t="s">
        <v>34</v>
      </c>
      <c r="B4" s="6">
        <v>1270</v>
      </c>
    </row>
    <row r="5" spans="1:2" x14ac:dyDescent="0.35">
      <c r="A5" s="5" t="s">
        <v>37</v>
      </c>
      <c r="B5" s="6">
        <v>1137</v>
      </c>
    </row>
    <row r="6" spans="1:2" x14ac:dyDescent="0.35">
      <c r="A6" s="5" t="s">
        <v>36</v>
      </c>
      <c r="B6" s="6">
        <v>981</v>
      </c>
    </row>
    <row r="7" spans="1:2" x14ac:dyDescent="0.35">
      <c r="A7" s="5" t="s">
        <v>35</v>
      </c>
      <c r="B7" s="6">
        <v>751</v>
      </c>
    </row>
    <row r="8" spans="1:2" x14ac:dyDescent="0.35">
      <c r="A8" s="5" t="s">
        <v>33</v>
      </c>
      <c r="B8" s="6">
        <v>655</v>
      </c>
    </row>
    <row r="9" spans="1:2" x14ac:dyDescent="0.35">
      <c r="A9" s="5" t="s">
        <v>32</v>
      </c>
      <c r="B9" s="6">
        <v>630</v>
      </c>
    </row>
    <row r="10" spans="1:2" x14ac:dyDescent="0.35">
      <c r="A10" s="5" t="s">
        <v>31</v>
      </c>
      <c r="B10" s="6">
        <v>585</v>
      </c>
    </row>
    <row r="11" spans="1:2" x14ac:dyDescent="0.35">
      <c r="A11" s="5" t="s">
        <v>28</v>
      </c>
      <c r="B11" s="6">
        <v>6009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0BAAA-1C76-4642-80F9-F89953710EA9}">
  <dimension ref="A1"/>
  <sheetViews>
    <sheetView showGridLines="0" tabSelected="1" zoomScale="55" zoomScaleNormal="55" workbookViewId="0">
      <selection activeCell="O24" sqref="O24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0D6FB-445E-40CC-BA1D-AAF45601A82A}">
  <dimension ref="A1:J13"/>
  <sheetViews>
    <sheetView workbookViewId="0">
      <selection activeCell="C1" sqref="C1"/>
    </sheetView>
  </sheetViews>
  <sheetFormatPr defaultRowHeight="14.5" x14ac:dyDescent="0.35"/>
  <cols>
    <col min="1" max="1" width="9.36328125" customWidth="1"/>
    <col min="2" max="2" width="18.90625" customWidth="1"/>
    <col min="3" max="3" width="10.26953125" customWidth="1"/>
    <col min="4" max="4" width="16.90625" customWidth="1"/>
    <col min="6" max="6" width="17.08984375" customWidth="1"/>
    <col min="9" max="9" width="18.453125" customWidth="1"/>
    <col min="10" max="10" width="16.36328125" customWidth="1"/>
  </cols>
  <sheetData>
    <row r="1" spans="1:10" x14ac:dyDescent="0.35">
      <c r="A1" t="s">
        <v>0</v>
      </c>
      <c r="B1" s="2" t="s">
        <v>1</v>
      </c>
      <c r="C1" t="s">
        <v>30</v>
      </c>
      <c r="D1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25</v>
      </c>
      <c r="J1" s="3" t="s">
        <v>26</v>
      </c>
    </row>
    <row r="2" spans="1:10" x14ac:dyDescent="0.35">
      <c r="A2" t="s">
        <v>7</v>
      </c>
      <c r="B2" s="1">
        <v>45992</v>
      </c>
      <c r="C2" t="s">
        <v>8</v>
      </c>
      <c r="D2" t="s">
        <v>9</v>
      </c>
      <c r="E2">
        <v>520</v>
      </c>
      <c r="F2">
        <v>48</v>
      </c>
      <c r="G2">
        <v>62</v>
      </c>
      <c r="H2">
        <v>4200</v>
      </c>
      <c r="I2">
        <f>E2+F2+G2</f>
        <v>630</v>
      </c>
      <c r="J2" t="str">
        <f>TEXT(B2,"dddd")</f>
        <v>Monday</v>
      </c>
    </row>
    <row r="3" spans="1:10" x14ac:dyDescent="0.35">
      <c r="A3" t="s">
        <v>10</v>
      </c>
      <c r="B3" s="1">
        <v>45993</v>
      </c>
      <c r="C3" t="s">
        <v>11</v>
      </c>
      <c r="D3" t="s">
        <v>12</v>
      </c>
      <c r="E3">
        <v>210</v>
      </c>
      <c r="F3">
        <v>35</v>
      </c>
      <c r="G3">
        <v>18</v>
      </c>
      <c r="H3">
        <v>1800</v>
      </c>
      <c r="I3">
        <f t="shared" ref="I3:I13" si="0">E3+F3+G3</f>
        <v>263</v>
      </c>
      <c r="J3" t="str">
        <f t="shared" ref="J3:J13" si="1">TEXT(B3,"dddd")</f>
        <v>Tuesday</v>
      </c>
    </row>
    <row r="4" spans="1:10" x14ac:dyDescent="0.35">
      <c r="A4" t="s">
        <v>13</v>
      </c>
      <c r="B4" s="1">
        <v>45993</v>
      </c>
      <c r="C4" t="s">
        <v>8</v>
      </c>
      <c r="D4" t="s">
        <v>14</v>
      </c>
      <c r="E4">
        <v>340</v>
      </c>
      <c r="F4">
        <v>22</v>
      </c>
      <c r="G4">
        <v>30</v>
      </c>
      <c r="H4">
        <v>2600</v>
      </c>
      <c r="I4">
        <f t="shared" si="0"/>
        <v>392</v>
      </c>
      <c r="J4" t="str">
        <f t="shared" si="1"/>
        <v>Tuesday</v>
      </c>
    </row>
    <row r="5" spans="1:10" x14ac:dyDescent="0.35">
      <c r="A5" t="s">
        <v>15</v>
      </c>
      <c r="B5" s="1">
        <v>45994</v>
      </c>
      <c r="C5" t="s">
        <v>11</v>
      </c>
      <c r="D5" t="s">
        <v>16</v>
      </c>
      <c r="E5">
        <v>410</v>
      </c>
      <c r="F5">
        <v>55</v>
      </c>
      <c r="G5">
        <v>40</v>
      </c>
      <c r="H5">
        <v>3200</v>
      </c>
      <c r="I5">
        <f t="shared" si="0"/>
        <v>505</v>
      </c>
      <c r="J5" t="str">
        <f t="shared" si="1"/>
        <v>Wednesday</v>
      </c>
    </row>
    <row r="6" spans="1:10" x14ac:dyDescent="0.35">
      <c r="A6" t="s">
        <v>17</v>
      </c>
      <c r="B6" s="1">
        <v>45994</v>
      </c>
      <c r="C6" t="s">
        <v>8</v>
      </c>
      <c r="D6" t="s">
        <v>9</v>
      </c>
      <c r="E6">
        <v>610</v>
      </c>
      <c r="F6">
        <v>70</v>
      </c>
      <c r="G6">
        <v>85</v>
      </c>
      <c r="H6">
        <v>5100</v>
      </c>
      <c r="I6">
        <f t="shared" si="0"/>
        <v>765</v>
      </c>
      <c r="J6" t="str">
        <f t="shared" si="1"/>
        <v>Wednesday</v>
      </c>
    </row>
    <row r="7" spans="1:10" x14ac:dyDescent="0.35">
      <c r="A7" t="s">
        <v>18</v>
      </c>
      <c r="B7" s="1">
        <v>45995</v>
      </c>
      <c r="C7" t="s">
        <v>8</v>
      </c>
      <c r="D7" t="s">
        <v>16</v>
      </c>
      <c r="E7">
        <v>430</v>
      </c>
      <c r="F7">
        <v>38</v>
      </c>
      <c r="G7">
        <v>50</v>
      </c>
      <c r="H7">
        <v>3700</v>
      </c>
      <c r="I7">
        <f t="shared" si="0"/>
        <v>518</v>
      </c>
      <c r="J7" t="str">
        <f t="shared" si="1"/>
        <v>Thursday</v>
      </c>
    </row>
    <row r="8" spans="1:10" x14ac:dyDescent="0.35">
      <c r="A8" t="s">
        <v>19</v>
      </c>
      <c r="B8" s="1">
        <v>45995</v>
      </c>
      <c r="C8" t="s">
        <v>11</v>
      </c>
      <c r="D8" t="s">
        <v>12</v>
      </c>
      <c r="E8">
        <v>190</v>
      </c>
      <c r="F8">
        <v>28</v>
      </c>
      <c r="G8">
        <v>15</v>
      </c>
      <c r="H8">
        <v>1600</v>
      </c>
      <c r="I8">
        <f t="shared" si="0"/>
        <v>233</v>
      </c>
      <c r="J8" t="str">
        <f t="shared" si="1"/>
        <v>Thursday</v>
      </c>
    </row>
    <row r="9" spans="1:10" x14ac:dyDescent="0.35">
      <c r="A9" t="s">
        <v>20</v>
      </c>
      <c r="B9" s="1">
        <v>45996</v>
      </c>
      <c r="C9" t="s">
        <v>8</v>
      </c>
      <c r="D9" t="s">
        <v>14</v>
      </c>
      <c r="E9">
        <v>360</v>
      </c>
      <c r="F9">
        <v>26</v>
      </c>
      <c r="G9">
        <v>33</v>
      </c>
      <c r="H9">
        <v>2900</v>
      </c>
      <c r="I9">
        <f t="shared" si="0"/>
        <v>419</v>
      </c>
      <c r="J9" t="str">
        <f t="shared" si="1"/>
        <v>Friday</v>
      </c>
    </row>
    <row r="10" spans="1:10" x14ac:dyDescent="0.35">
      <c r="A10" t="s">
        <v>21</v>
      </c>
      <c r="B10" s="1">
        <v>45996</v>
      </c>
      <c r="C10" t="s">
        <v>11</v>
      </c>
      <c r="D10" t="s">
        <v>16</v>
      </c>
      <c r="E10">
        <v>460</v>
      </c>
      <c r="F10">
        <v>60</v>
      </c>
      <c r="G10">
        <v>42</v>
      </c>
      <c r="H10">
        <v>3400</v>
      </c>
      <c r="I10">
        <f t="shared" si="0"/>
        <v>562</v>
      </c>
      <c r="J10" t="str">
        <f t="shared" si="1"/>
        <v>Friday</v>
      </c>
    </row>
    <row r="11" spans="1:10" x14ac:dyDescent="0.35">
      <c r="A11" t="s">
        <v>22</v>
      </c>
      <c r="B11" s="1">
        <v>45997</v>
      </c>
      <c r="C11" t="s">
        <v>8</v>
      </c>
      <c r="D11" t="s">
        <v>9</v>
      </c>
      <c r="E11">
        <v>680</v>
      </c>
      <c r="F11">
        <v>82</v>
      </c>
      <c r="G11">
        <v>95</v>
      </c>
      <c r="H11">
        <v>5600</v>
      </c>
      <c r="I11">
        <f t="shared" si="0"/>
        <v>857</v>
      </c>
      <c r="J11" t="str">
        <f t="shared" si="1"/>
        <v>Saturday</v>
      </c>
    </row>
    <row r="12" spans="1:10" x14ac:dyDescent="0.35">
      <c r="A12" t="s">
        <v>23</v>
      </c>
      <c r="B12" s="1">
        <v>45997</v>
      </c>
      <c r="C12" t="s">
        <v>11</v>
      </c>
      <c r="D12" t="s">
        <v>12</v>
      </c>
      <c r="E12">
        <v>220</v>
      </c>
      <c r="F12">
        <v>40</v>
      </c>
      <c r="G12">
        <v>20</v>
      </c>
      <c r="H12">
        <v>1900</v>
      </c>
      <c r="I12">
        <f t="shared" si="0"/>
        <v>280</v>
      </c>
      <c r="J12" t="str">
        <f t="shared" si="1"/>
        <v>Saturday</v>
      </c>
    </row>
    <row r="13" spans="1:10" x14ac:dyDescent="0.35">
      <c r="A13" t="s">
        <v>24</v>
      </c>
      <c r="B13" s="1">
        <v>45998</v>
      </c>
      <c r="C13" t="s">
        <v>8</v>
      </c>
      <c r="D13" t="s">
        <v>16</v>
      </c>
      <c r="E13">
        <v>480</v>
      </c>
      <c r="F13">
        <v>45</v>
      </c>
      <c r="G13">
        <v>60</v>
      </c>
      <c r="H13">
        <v>4000</v>
      </c>
      <c r="I13">
        <f t="shared" si="0"/>
        <v>585</v>
      </c>
      <c r="J13" t="str">
        <f t="shared" si="1"/>
        <v>Sunday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Content_Type_Analysis</vt:lpstr>
      <vt:lpstr>Platform_Analysis</vt:lpstr>
      <vt:lpstr>Day_Analysis</vt:lpstr>
      <vt:lpstr>Dashboard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Aarya Khaire</dc:creator>
  <cp:lastModifiedBy>Aarya Khaire</cp:lastModifiedBy>
  <dcterms:created xsi:type="dcterms:W3CDTF">2026-01-04T08:08:26Z</dcterms:created>
  <dcterms:modified xsi:type="dcterms:W3CDTF">2026-01-04T08:34:39Z</dcterms:modified>
</cp:coreProperties>
</file>